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chardcompanies-my.sharepoint.com/personal/zach_perkovich_pritchards_com/Documents/Desktop/"/>
    </mc:Choice>
  </mc:AlternateContent>
  <xr:revisionPtr revIDLastSave="0" documentId="8_{D048FA67-2CD7-4AAB-9590-A1979DBAE0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3" r:id="rId1"/>
    <sheet name="SPO Quote" sheetId="1" r:id="rId2"/>
    <sheet name="Packages" sheetId="4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Juho Songer</author>
  </authors>
  <commentList>
    <comment ref="A1" authorId="0" shapeId="0" xr:uid="{00000000-0006-0000-0000-000001000000}">
      <text>
        <r>
          <rPr>
            <u/>
            <sz val="9"/>
            <color indexed="81"/>
            <rFont val="Tahoma"/>
            <family val="2"/>
          </rPr>
          <t>Mandatory field</t>
        </r>
        <r>
          <rPr>
            <sz val="9"/>
            <color indexed="81"/>
            <rFont val="Tahoma"/>
            <family val="2"/>
          </rPr>
          <t xml:space="preserve">
Accepted values for full non SPO action are:
C = Create</t>
        </r>
      </text>
    </comment>
    <comment ref="D1" authorId="0" shapeId="0" xr:uid="{00000000-0006-0000-0000-000002000000}">
      <text>
        <r>
          <rPr>
            <sz val="9"/>
            <color indexed="81"/>
            <rFont val="Tahoma"/>
            <family val="2"/>
          </rPr>
          <t>Mandatory field</t>
        </r>
      </text>
    </comment>
    <comment ref="E1" authorId="0" shapeId="0" xr:uid="{00000000-0006-0000-0000-000003000000}">
      <text>
        <r>
          <rPr>
            <sz val="9"/>
            <color indexed="81"/>
            <rFont val="Tahoma"/>
            <family val="2"/>
          </rPr>
          <t>Mandatory field</t>
        </r>
      </text>
    </comment>
    <comment ref="F1" authorId="0" shapeId="0" xr:uid="{00000000-0006-0000-0000-000004000000}">
      <text>
        <r>
          <rPr>
            <sz val="9"/>
            <color indexed="81"/>
            <rFont val="Tahoma"/>
            <family val="2"/>
          </rPr>
          <t>Additional fields which exists in the bill of materials can be added on column F and onwards</t>
        </r>
      </text>
    </comment>
  </commentList>
</comments>
</file>

<file path=xl/sharedStrings.xml><?xml version="1.0" encoding="utf-8"?>
<sst xmlns="http://schemas.openxmlformats.org/spreadsheetml/2006/main" count="144" uniqueCount="80">
  <si>
    <t>Line No</t>
  </si>
  <si>
    <t>Data code</t>
  </si>
  <si>
    <t>Description</t>
  </si>
  <si>
    <t>Price</t>
  </si>
  <si>
    <t>Action</t>
  </si>
  <si>
    <t>ANY/ALL VEHICLE INSPECTION, TAX, TITLE AND/OR</t>
  </si>
  <si>
    <t>REGISTRATION FEE(S) ARE THE SOLE RESPONSIBILITY OF RYDER.</t>
  </si>
  <si>
    <t>C</t>
  </si>
  <si>
    <t>Quote ID:</t>
  </si>
  <si>
    <t xml:space="preserve">PRICING WILL CHANGE WITHOUT NOTICE DURING THE MODEL YEAR.  </t>
  </si>
  <si>
    <t xml:space="preserve">RYDER </t>
  </si>
  <si>
    <t>Pritchard Commercial</t>
  </si>
  <si>
    <t>1 TeamQuest Way</t>
  </si>
  <si>
    <t>Clear Lake, Iowa, 50328</t>
  </si>
  <si>
    <t>515-666-1142</t>
  </si>
  <si>
    <t>PRICE INCLUDES NET-30 DAY PAYMENT TERMS</t>
  </si>
  <si>
    <t>LATE PAYMENT WILL ACCRUE 11% DAILY INTEREST</t>
  </si>
  <si>
    <t>MSO WILL NOT BE SENT UNTIL PAYMENT IN FULL IS RECEIVED</t>
  </si>
  <si>
    <t>CUSTOMER:</t>
  </si>
  <si>
    <t>SALESMAN: Anthony Ratcliff</t>
  </si>
  <si>
    <t>EMAIL:  Anthony.Ratcliff@Pritchards.com</t>
  </si>
  <si>
    <t>VENDOR:</t>
  </si>
  <si>
    <t>Total</t>
  </si>
  <si>
    <t>component</t>
  </si>
  <si>
    <t>Package ID</t>
  </si>
  <si>
    <t>Package Description</t>
  </si>
  <si>
    <t>FINAL PRICING IS DETERMINED BY PRICE LEVEL IN EFFECT AT ORDER PLACEMENT.</t>
  </si>
  <si>
    <t xml:space="preserve">THIS QUOTE IS INCLUSIVE OF FORD MOTOR CO. 26MY CPA DISCOUNT NUA/SOI DISCOUNTS. </t>
  </si>
  <si>
    <t>Oxford White</t>
  </si>
  <si>
    <t>Monotone Paint Application</t>
  </si>
  <si>
    <t>PRICE DOES INCLUDE DELIVERY TO RYDER LOCATION</t>
  </si>
  <si>
    <t>Upfit:</t>
  </si>
  <si>
    <t>Upfit Total</t>
  </si>
  <si>
    <t>Grand Total</t>
  </si>
  <si>
    <t>ATTN: DJ Rubino</t>
  </si>
  <si>
    <t>26AR301 - RydDR004</t>
  </si>
  <si>
    <t>2027 E-350 Cutaway Chassis 176" WB DRW Base (E3F)</t>
  </si>
  <si>
    <t>E3F</t>
  </si>
  <si>
    <t>Base Vehicle Price (E3F)</t>
  </si>
  <si>
    <t>780A</t>
  </si>
  <si>
    <t>Order Code 780A</t>
  </si>
  <si>
    <t>50 State Emission System</t>
  </si>
  <si>
    <t>99N</t>
  </si>
  <si>
    <t>Engine: 7.3L V8 Port Fuel Injected Gasoline</t>
  </si>
  <si>
    <t>44P</t>
  </si>
  <si>
    <t>Transmission: 6-Speed O/D w/Tow Haul</t>
  </si>
  <si>
    <t>X85</t>
  </si>
  <si>
    <t>4.56 Axle Ratio</t>
  </si>
  <si>
    <t>20C</t>
  </si>
  <si>
    <t>GVWR: 12,500 Lb Payload Package</t>
  </si>
  <si>
    <t>T68</t>
  </si>
  <si>
    <t>Tires: LT225/75R16E BSW A/S</t>
  </si>
  <si>
    <t>Wheels: 16" X 6" White Painted Steel</t>
  </si>
  <si>
    <t>Dual High Back Buckets</t>
  </si>
  <si>
    <t>A</t>
  </si>
  <si>
    <t>Vinyl Bucket Seats</t>
  </si>
  <si>
    <t>PAINT</t>
  </si>
  <si>
    <t>176WB</t>
  </si>
  <si>
    <t>176" Wheelbase</t>
  </si>
  <si>
    <t>94A</t>
  </si>
  <si>
    <t>Embedded Modem Delete</t>
  </si>
  <si>
    <t>License Plate Bracket</t>
  </si>
  <si>
    <t>54E</t>
  </si>
  <si>
    <t>Manual Telescoping Trailer Tow Mirrors</t>
  </si>
  <si>
    <t>Cruise Control</t>
  </si>
  <si>
    <t>Power Equipment Group</t>
  </si>
  <si>
    <t>Radio: AM/FM Stereo w/Clock Display &amp; 2 Speakers</t>
  </si>
  <si>
    <t>91F</t>
  </si>
  <si>
    <t>SecuriLock Passive Anti-Theft System (ePATS)</t>
  </si>
  <si>
    <t>47Z</t>
  </si>
  <si>
    <t>Ambulance Prep Package Not Required</t>
  </si>
  <si>
    <t>FLADCR</t>
  </si>
  <si>
    <t>Fleet Advertising Credit</t>
  </si>
  <si>
    <t>WARANT</t>
  </si>
  <si>
    <t>Fleet Customer Powertrain Limited Warranty</t>
  </si>
  <si>
    <t>YZ_01</t>
  </si>
  <si>
    <t>AE_01</t>
  </si>
  <si>
    <t>Medium Flint w/Vinyl Bucket Seats</t>
  </si>
  <si>
    <t>PARCEL VAN BODY 16 FT NOMINAL</t>
  </si>
  <si>
    <t>PSD09116096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</si>
</sst>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000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 applyAlignment="1" applyProtection="1">
      <alignment horizontal="left" vertical="top"/>
      <protection locked="0"/>
    </xf>
    <xf numFmtId="164" fontId="0" fillId="0" borderId="0" xfId="0" applyNumberFormat="1" applyAlignment="1">
      <alignment horizontal="left" vertical="top"/>
    </xf>
    <xf numFmtId="8" fontId="0" fillId="0" borderId="0" xfId="0" applyNumberFormat="1"/>
    <xf numFmtId="0" fontId="4" fillId="0" borderId="0" xfId="0" applyFont="1" applyAlignment="1">
      <alignment vertical="center"/>
    </xf>
    <xf numFmtId="0" fontId="3" fillId="0" borderId="0" xfId="1"/>
    <xf numFmtId="0" fontId="5" fillId="0" borderId="0" xfId="0" applyFont="1"/>
    <xf numFmtId="3" fontId="0" fillId="0" borderId="0" xfId="0" applyNumberFormat="1"/>
    <xf numFmtId="15" fontId="0" fillId="0" borderId="0" xfId="0" applyNumberFormat="1"/>
    <xf numFmtId="164" fontId="5" fillId="0" borderId="0" xfId="0" applyNumberFormat="1" applyFont="1" applyAlignment="1" applyProtection="1">
      <alignment horizontal="left" vertical="top"/>
      <protection locked="0"/>
    </xf>
    <xf numFmtId="164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165" fontId="0" fillId="0" borderId="0" xfId="0" applyNumberForma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horizontal="left"/>
    </xf>
    <xf numFmtId="8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952499</xdr:colOff>
      <xdr:row>0</xdr:row>
      <xdr:rowOff>1</xdr:rowOff>
    </xdr:from>
    <xdr:to>
      <xdr:col>3</xdr:col>
      <xdr:colOff>2326254</xdr:colOff>
      <xdr:row>6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17E44-14D6-499E-9C8D-9872EE96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9949" y="1"/>
          <a:ext cx="1373755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0276-0742-48B6-A6B4-75E62A75A472}">
  <dimension ref="A2:E25"/>
  <sheetViews>
    <sheetView workbookViewId="0">
      <selection activeCell="D16" sqref="D16"/>
    </sheetView>
  </sheetViews>
  <sheetFormatPr defaultRowHeight="15" x14ac:dyDescent="0.25"/>
  <cols>
    <col min="2" max="2" width="18.5703125" bestFit="1" customWidth="1"/>
    <col min="4" max="4" width="70.7109375" bestFit="1" customWidth="1"/>
    <col min="9" max="9" width="10.85546875" bestFit="1" customWidth="1"/>
  </cols>
  <sheetData>
    <row r="2" spans="1:4" ht="18.75" x14ac:dyDescent="0.25">
      <c r="C2" s="4"/>
    </row>
    <row r="8" spans="1:4" x14ac:dyDescent="0.25">
      <c r="D8" s="8">
        <v>46126</v>
      </c>
    </row>
    <row r="10" spans="1:4" x14ac:dyDescent="0.25">
      <c r="B10" t="s">
        <v>18</v>
      </c>
      <c r="D10" t="s">
        <v>10</v>
      </c>
    </row>
    <row r="13" spans="1:4" x14ac:dyDescent="0.25">
      <c r="A13" t="s">
        <v>7</v>
      </c>
      <c r="B13" t="s">
        <v>8</v>
      </c>
      <c r="D13" t="s">
        <v>35</v>
      </c>
    </row>
    <row r="17" spans="1:5" x14ac:dyDescent="0.25">
      <c r="A17" t="s">
        <v>7</v>
      </c>
      <c r="B17" t="s">
        <v>21</v>
      </c>
      <c r="D17" t="s">
        <v>11</v>
      </c>
    </row>
    <row r="18" spans="1:5" x14ac:dyDescent="0.25">
      <c r="A18" t="s">
        <v>7</v>
      </c>
      <c r="D18" t="s">
        <v>12</v>
      </c>
    </row>
    <row r="19" spans="1:5" x14ac:dyDescent="0.25">
      <c r="A19" t="s">
        <v>7</v>
      </c>
      <c r="D19" t="s">
        <v>13</v>
      </c>
    </row>
    <row r="21" spans="1:5" x14ac:dyDescent="0.25">
      <c r="A21" t="s">
        <v>7</v>
      </c>
      <c r="D21" t="s">
        <v>34</v>
      </c>
    </row>
    <row r="23" spans="1:5" x14ac:dyDescent="0.25">
      <c r="A23" t="s">
        <v>7</v>
      </c>
      <c r="D23" t="s">
        <v>19</v>
      </c>
    </row>
    <row r="24" spans="1:5" x14ac:dyDescent="0.25">
      <c r="A24" t="s">
        <v>7</v>
      </c>
      <c r="D24" t="s">
        <v>14</v>
      </c>
    </row>
    <row r="25" spans="1:5" x14ac:dyDescent="0.25">
      <c r="A25" t="s">
        <v>7</v>
      </c>
      <c r="D25" t="s">
        <v>20</v>
      </c>
      <c r="E25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zoomScaleNormal="100" workbookViewId="0">
      <selection activeCell="D2" sqref="D2"/>
    </sheetView>
  </sheetViews>
  <sheetFormatPr defaultRowHeight="15" x14ac:dyDescent="0.25"/>
  <cols>
    <col min="1" max="1" width="6.5703125" customWidth="1"/>
    <col min="2" max="2" width="7.42578125" customWidth="1"/>
    <col min="3" max="3" width="13.7109375" customWidth="1"/>
    <col min="4" max="4" width="89" customWidth="1"/>
    <col min="5" max="5" width="13.5703125" customWidth="1"/>
    <col min="6" max="6" width="10.7109375" bestFit="1" customWidth="1"/>
  </cols>
  <sheetData>
    <row r="1" spans="1:6" x14ac:dyDescent="0.25">
      <c r="A1" s="6" t="s">
        <v>4</v>
      </c>
      <c r="B1" s="9" t="s">
        <v>0</v>
      </c>
      <c r="C1" s="9" t="s">
        <v>1</v>
      </c>
      <c r="D1" s="9" t="s">
        <v>2</v>
      </c>
      <c r="E1" s="10" t="s">
        <v>3</v>
      </c>
      <c r="F1" s="6" t="s">
        <v>23</v>
      </c>
    </row>
    <row r="2" spans="1:6" x14ac:dyDescent="0.25">
      <c r="A2" t="s">
        <v>7</v>
      </c>
      <c r="B2" s="1"/>
      <c r="C2" s="11"/>
      <c r="D2" t="s">
        <v>35</v>
      </c>
    </row>
    <row r="3" spans="1:6" x14ac:dyDescent="0.25">
      <c r="A3" t="s">
        <v>7</v>
      </c>
      <c r="B3" s="1"/>
      <c r="C3" s="11"/>
      <c r="D3" t="s">
        <v>36</v>
      </c>
    </row>
    <row r="4" spans="1:6" x14ac:dyDescent="0.25">
      <c r="A4" t="s">
        <v>7</v>
      </c>
      <c r="B4" s="1"/>
      <c r="C4" s="11" t="s">
        <v>37</v>
      </c>
      <c r="D4" t="s">
        <v>38</v>
      </c>
    </row>
    <row r="5" spans="1:6" x14ac:dyDescent="0.25">
      <c r="A5" t="s">
        <v>7</v>
      </c>
      <c r="B5" s="1"/>
      <c r="C5" s="11" t="s">
        <v>39</v>
      </c>
      <c r="D5" t="s">
        <v>40</v>
      </c>
    </row>
    <row r="6" spans="1:6" x14ac:dyDescent="0.25">
      <c r="A6" t="s">
        <v>7</v>
      </c>
      <c r="B6" s="2"/>
      <c r="C6" s="15">
        <v>425</v>
      </c>
      <c r="D6" t="s">
        <v>41</v>
      </c>
      <c r="E6" s="3"/>
    </row>
    <row r="7" spans="1:6" x14ac:dyDescent="0.25">
      <c r="A7" t="s">
        <v>7</v>
      </c>
      <c r="C7" s="11" t="s">
        <v>42</v>
      </c>
      <c r="D7" t="s">
        <v>43</v>
      </c>
    </row>
    <row r="8" spans="1:6" x14ac:dyDescent="0.25">
      <c r="A8" t="s">
        <v>7</v>
      </c>
      <c r="C8" s="11" t="s">
        <v>44</v>
      </c>
      <c r="D8" t="s">
        <v>45</v>
      </c>
      <c r="E8" s="3"/>
    </row>
    <row r="9" spans="1:6" x14ac:dyDescent="0.25">
      <c r="A9" t="s">
        <v>7</v>
      </c>
      <c r="C9" s="11" t="s">
        <v>46</v>
      </c>
      <c r="D9" s="7" t="s">
        <v>47</v>
      </c>
    </row>
    <row r="10" spans="1:6" x14ac:dyDescent="0.25">
      <c r="A10" t="s">
        <v>7</v>
      </c>
      <c r="C10" s="11" t="s">
        <v>48</v>
      </c>
      <c r="D10" t="s">
        <v>49</v>
      </c>
      <c r="E10" s="3"/>
    </row>
    <row r="11" spans="1:6" x14ac:dyDescent="0.25">
      <c r="A11" t="s">
        <v>7</v>
      </c>
      <c r="C11" s="11" t="s">
        <v>50</v>
      </c>
      <c r="D11" t="s">
        <v>51</v>
      </c>
    </row>
    <row r="12" spans="1:6" x14ac:dyDescent="0.25">
      <c r="A12" t="s">
        <v>7</v>
      </c>
      <c r="C12" s="11">
        <v>646</v>
      </c>
      <c r="D12" t="s">
        <v>52</v>
      </c>
    </row>
    <row r="13" spans="1:6" x14ac:dyDescent="0.25">
      <c r="A13" t="s">
        <v>7</v>
      </c>
      <c r="C13" s="11">
        <v>211</v>
      </c>
      <c r="D13" t="s">
        <v>53</v>
      </c>
    </row>
    <row r="14" spans="1:6" x14ac:dyDescent="0.25">
      <c r="A14" t="s">
        <v>7</v>
      </c>
      <c r="C14" s="11" t="s">
        <v>54</v>
      </c>
      <c r="D14" t="s">
        <v>55</v>
      </c>
    </row>
    <row r="15" spans="1:6" x14ac:dyDescent="0.25">
      <c r="A15" t="s">
        <v>7</v>
      </c>
      <c r="C15" s="11" t="s">
        <v>56</v>
      </c>
      <c r="D15" t="s">
        <v>29</v>
      </c>
      <c r="E15" s="3"/>
    </row>
    <row r="16" spans="1:6" x14ac:dyDescent="0.25">
      <c r="A16" t="s">
        <v>7</v>
      </c>
      <c r="C16" s="11" t="s">
        <v>57</v>
      </c>
      <c r="D16" t="s">
        <v>58</v>
      </c>
    </row>
    <row r="17" spans="1:5" x14ac:dyDescent="0.25">
      <c r="A17" t="s">
        <v>7</v>
      </c>
      <c r="C17" s="11" t="s">
        <v>59</v>
      </c>
      <c r="D17" t="s">
        <v>60</v>
      </c>
      <c r="E17" s="12"/>
    </row>
    <row r="18" spans="1:5" x14ac:dyDescent="0.25">
      <c r="A18" t="s">
        <v>7</v>
      </c>
      <c r="C18" s="11">
        <v>153</v>
      </c>
      <c r="D18" t="s">
        <v>61</v>
      </c>
      <c r="E18" s="12"/>
    </row>
    <row r="19" spans="1:5" x14ac:dyDescent="0.25">
      <c r="A19" t="s">
        <v>7</v>
      </c>
      <c r="C19" s="11" t="s">
        <v>62</v>
      </c>
      <c r="D19" t="s">
        <v>63</v>
      </c>
      <c r="E19" s="12"/>
    </row>
    <row r="20" spans="1:5" x14ac:dyDescent="0.25">
      <c r="A20" t="s">
        <v>7</v>
      </c>
      <c r="C20" s="11">
        <v>525</v>
      </c>
      <c r="D20" t="s">
        <v>64</v>
      </c>
      <c r="E20" s="12"/>
    </row>
    <row r="21" spans="1:5" x14ac:dyDescent="0.25">
      <c r="A21" t="s">
        <v>7</v>
      </c>
      <c r="C21" s="11">
        <v>903</v>
      </c>
      <c r="D21" t="s">
        <v>65</v>
      </c>
      <c r="E21" s="12"/>
    </row>
    <row r="22" spans="1:5" x14ac:dyDescent="0.25">
      <c r="A22" t="s">
        <v>7</v>
      </c>
      <c r="C22" s="11">
        <v>587</v>
      </c>
      <c r="D22" t="s">
        <v>66</v>
      </c>
      <c r="E22" s="12"/>
    </row>
    <row r="23" spans="1:5" x14ac:dyDescent="0.25">
      <c r="A23" t="s">
        <v>7</v>
      </c>
      <c r="C23" s="11" t="s">
        <v>67</v>
      </c>
      <c r="D23" t="s">
        <v>68</v>
      </c>
      <c r="E23" s="12"/>
    </row>
    <row r="24" spans="1:5" x14ac:dyDescent="0.25">
      <c r="A24" t="s">
        <v>7</v>
      </c>
      <c r="C24" s="11" t="s">
        <v>69</v>
      </c>
      <c r="D24" t="s">
        <v>70</v>
      </c>
      <c r="E24" s="12"/>
    </row>
    <row r="25" spans="1:5" x14ac:dyDescent="0.25">
      <c r="A25" t="s">
        <v>7</v>
      </c>
      <c r="C25" s="11" t="s">
        <v>71</v>
      </c>
      <c r="D25" t="s">
        <v>72</v>
      </c>
      <c r="E25" s="12"/>
    </row>
    <row r="26" spans="1:5" x14ac:dyDescent="0.25">
      <c r="A26" t="s">
        <v>7</v>
      </c>
      <c r="C26" s="11" t="s">
        <v>73</v>
      </c>
      <c r="D26" t="s">
        <v>74</v>
      </c>
      <c r="E26" s="12"/>
    </row>
    <row r="27" spans="1:5" x14ac:dyDescent="0.25">
      <c r="A27" t="s">
        <v>7</v>
      </c>
      <c r="C27" s="11" t="s">
        <v>75</v>
      </c>
      <c r="D27" t="s">
        <v>28</v>
      </c>
      <c r="E27" s="12"/>
    </row>
    <row r="28" spans="1:5" x14ac:dyDescent="0.25">
      <c r="A28" t="s">
        <v>7</v>
      </c>
      <c r="C28" s="11" t="s">
        <v>76</v>
      </c>
      <c r="D28" t="s">
        <v>77</v>
      </c>
      <c r="E28" s="12"/>
    </row>
    <row r="29" spans="1:5" x14ac:dyDescent="0.25">
      <c r="A29" t="s">
        <v>7</v>
      </c>
      <c r="C29" s="11"/>
      <c r="E29" s="12"/>
    </row>
    <row r="30" spans="1:5" x14ac:dyDescent="0.25">
      <c r="A30" t="s">
        <v>7</v>
      </c>
      <c r="E30" s="12"/>
    </row>
    <row r="31" spans="1:5" x14ac:dyDescent="0.25">
      <c r="A31" t="s">
        <v>7</v>
      </c>
      <c r="D31" s="6" t="s">
        <v>22</v>
      </c>
      <c r="E31" s="16">
        <v>42873</v>
      </c>
    </row>
    <row r="32" spans="1:5" x14ac:dyDescent="0.25">
      <c r="A32" t="s">
        <v>7</v>
      </c>
      <c r="D32" s="13" t="s">
        <v>31</v>
      </c>
      <c r="E32" s="12"/>
    </row>
    <row r="33" spans="1:5" x14ac:dyDescent="0.25">
      <c r="A33" t="s">
        <v>7</v>
      </c>
      <c r="C33" t="s">
        <v>79</v>
      </c>
      <c r="D33" t="s">
        <v>78</v>
      </c>
      <c r="E33" s="12"/>
    </row>
    <row r="34" spans="1:5" x14ac:dyDescent="0.25">
      <c r="A34" t="s">
        <v>7</v>
      </c>
      <c r="E34" s="12"/>
    </row>
    <row r="35" spans="1:5" x14ac:dyDescent="0.25">
      <c r="A35" t="s">
        <v>7</v>
      </c>
      <c r="E35" s="12"/>
    </row>
    <row r="36" spans="1:5" x14ac:dyDescent="0.25">
      <c r="A36" t="s">
        <v>7</v>
      </c>
      <c r="D36" s="14"/>
      <c r="E36" s="12"/>
    </row>
    <row r="37" spans="1:5" x14ac:dyDescent="0.25">
      <c r="A37" t="s">
        <v>7</v>
      </c>
      <c r="E37" s="12"/>
    </row>
    <row r="38" spans="1:5" x14ac:dyDescent="0.25">
      <c r="A38" t="s">
        <v>7</v>
      </c>
      <c r="E38" s="12"/>
    </row>
    <row r="39" spans="1:5" x14ac:dyDescent="0.25">
      <c r="A39" t="s">
        <v>7</v>
      </c>
      <c r="E39" s="12"/>
    </row>
    <row r="40" spans="1:5" x14ac:dyDescent="0.25">
      <c r="A40" t="s">
        <v>7</v>
      </c>
      <c r="E40" s="12"/>
    </row>
    <row r="41" spans="1:5" x14ac:dyDescent="0.25">
      <c r="A41" t="s">
        <v>7</v>
      </c>
      <c r="E41" s="12"/>
    </row>
    <row r="42" spans="1:5" x14ac:dyDescent="0.25">
      <c r="A42" t="s">
        <v>7</v>
      </c>
      <c r="D42" s="6" t="s">
        <v>32</v>
      </c>
      <c r="E42" s="12">
        <v>21029</v>
      </c>
    </row>
    <row r="43" spans="1:5" x14ac:dyDescent="0.25">
      <c r="A43" t="s">
        <v>7</v>
      </c>
      <c r="D43" s="6" t="s">
        <v>33</v>
      </c>
      <c r="E43" s="12">
        <f>SUM(E31:E42)</f>
        <v>63902</v>
      </c>
    </row>
    <row r="44" spans="1:5" x14ac:dyDescent="0.25">
      <c r="A44" t="s">
        <v>7</v>
      </c>
      <c r="D44" s="6"/>
      <c r="E44" s="12"/>
    </row>
    <row r="45" spans="1:5" x14ac:dyDescent="0.25">
      <c r="A45" t="s">
        <v>7</v>
      </c>
      <c r="D45" t="s">
        <v>5</v>
      </c>
      <c r="E45" s="12"/>
    </row>
    <row r="46" spans="1:5" x14ac:dyDescent="0.25">
      <c r="A46" t="s">
        <v>7</v>
      </c>
      <c r="D46" t="s">
        <v>6</v>
      </c>
      <c r="E46" s="12"/>
    </row>
    <row r="47" spans="1:5" x14ac:dyDescent="0.25">
      <c r="A47" t="s">
        <v>7</v>
      </c>
      <c r="E47" s="12"/>
    </row>
    <row r="48" spans="1:5" x14ac:dyDescent="0.25">
      <c r="A48" t="s">
        <v>7</v>
      </c>
      <c r="D48" t="s">
        <v>27</v>
      </c>
    </row>
    <row r="49" spans="1:4" x14ac:dyDescent="0.25">
      <c r="A49" t="s">
        <v>7</v>
      </c>
    </row>
    <row r="50" spans="1:4" x14ac:dyDescent="0.25">
      <c r="A50" t="s">
        <v>7</v>
      </c>
      <c r="D50" t="s">
        <v>26</v>
      </c>
    </row>
    <row r="51" spans="1:4" x14ac:dyDescent="0.25">
      <c r="A51" t="s">
        <v>7</v>
      </c>
      <c r="D51" t="s">
        <v>9</v>
      </c>
    </row>
    <row r="52" spans="1:4" x14ac:dyDescent="0.25">
      <c r="A52" t="s">
        <v>7</v>
      </c>
    </row>
    <row r="53" spans="1:4" x14ac:dyDescent="0.25">
      <c r="A53" t="s">
        <v>7</v>
      </c>
      <c r="D53" t="s">
        <v>15</v>
      </c>
    </row>
    <row r="54" spans="1:4" x14ac:dyDescent="0.25">
      <c r="A54" t="s">
        <v>7</v>
      </c>
      <c r="D54" t="s">
        <v>16</v>
      </c>
    </row>
    <row r="55" spans="1:4" x14ac:dyDescent="0.25">
      <c r="A55" t="s">
        <v>7</v>
      </c>
      <c r="D55" t="s">
        <v>17</v>
      </c>
    </row>
    <row r="56" spans="1:4" x14ac:dyDescent="0.25">
      <c r="A56" t="s">
        <v>7</v>
      </c>
    </row>
    <row r="57" spans="1:4" x14ac:dyDescent="0.25">
      <c r="A57" t="s">
        <v>7</v>
      </c>
      <c r="D57" t="s">
        <v>30</v>
      </c>
    </row>
  </sheetData>
  <dataValidations count="1">
    <dataValidation type="list" allowBlank="1" showInputMessage="1" showErrorMessage="1" sqref="A7:A1048576" xr:uid="{00000000-0002-0000-0000-000000000000}">
      <formula1>"C"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CB63-78C8-4E44-89F0-61B925AE3B8F}">
  <dimension ref="A1:B1"/>
  <sheetViews>
    <sheetView workbookViewId="0">
      <selection activeCell="B6" sqref="B6"/>
    </sheetView>
  </sheetViews>
  <sheetFormatPr defaultRowHeight="15" x14ac:dyDescent="0.25"/>
  <cols>
    <col min="1" max="1" width="10.140625" bestFit="1" customWidth="1"/>
    <col min="2" max="2" width="18.42578125" bestFit="1" customWidth="1"/>
  </cols>
  <sheetData>
    <row r="1" spans="1:2" x14ac:dyDescent="0.25">
      <c r="A1" t="s">
        <v>24</v>
      </c>
      <c r="B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B9D8-6651-4748-836F-ED85BC9C19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7996D311EDF4EA4C67AD0C02C8089" ma:contentTypeVersion="17" ma:contentTypeDescription="Create a new document." ma:contentTypeScope="" ma:versionID="d9e41d3b6f3268d514b2756da54c5c55">
  <xsd:schema xmlns:xsd="http://www.w3.org/2001/XMLSchema" xmlns:xs="http://www.w3.org/2001/XMLSchema" xmlns:p="http://schemas.microsoft.com/office/2006/metadata/properties" xmlns:ns3="d9c61ef7-0020-4e27-8898-01e812a3e0f3" xmlns:ns4="8b7051db-27b5-4681-8770-1054448bf5dd" targetNamespace="http://schemas.microsoft.com/office/2006/metadata/properties" ma:root="true" ma:fieldsID="1786d07b42c6b0ada05218e4530f90b9" ns3:_="" ns4:_="">
    <xsd:import namespace="d9c61ef7-0020-4e27-8898-01e812a3e0f3"/>
    <xsd:import namespace="8b7051db-27b5-4681-8770-1054448bf5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SearchPropertie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61ef7-0020-4e27-8898-01e812a3e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051db-27b5-4681-8770-1054448bf5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c61ef7-0020-4e27-8898-01e812a3e0f3" xsi:nil="true"/>
  </documentManagement>
</p:properties>
</file>

<file path=customXml/itemProps1.xml><?xml version="1.0" encoding="utf-8"?>
<ds:datastoreItem xmlns:ds="http://schemas.openxmlformats.org/officeDocument/2006/customXml" ds:itemID="{808159C5-6299-42B7-B5CD-1B429B9146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2C1240-202A-4BC8-9A64-19F32EA10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61ef7-0020-4e27-8898-01e812a3e0f3"/>
    <ds:schemaRef ds:uri="8b7051db-27b5-4681-8770-1054448bf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64B94-702D-4575-AA5F-C18B9A875778}">
  <ds:schemaRefs>
    <ds:schemaRef ds:uri="http://purl.org/dc/terms/"/>
    <ds:schemaRef ds:uri="http://schemas.microsoft.com/office/2006/documentManagement/types"/>
    <ds:schemaRef ds:uri="d9c61ef7-0020-4e27-8898-01e812a3e0f3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8b7051db-27b5-4681-8770-1054448bf5d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SPO Quote</vt:lpstr>
      <vt:lpstr>Packages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Juho Songer</dc:creator>
  <cp:lastModifiedBy>Zach Perkovich</cp:lastModifiedBy>
  <cp:lastPrinted>2024-03-21T16:40:55Z</cp:lastPrinted>
  <dcterms:created xsi:type="dcterms:W3CDTF">2018-08-10T08:07:42Z</dcterms:created>
  <dcterms:modified xsi:type="dcterms:W3CDTF">2026-04-14T20:35:32Z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0x0101000B37996D311EDF4EA4C67AD0C02C8089</vt:lpwstr>
  </property>
</Properties>
</file>